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checkCompatibility="1" autoCompressPictures="0"/>
  <bookViews>
    <workbookView xWindow="0" yWindow="0" windowWidth="25520" windowHeight="1556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" i="1" l="1"/>
  <c r="M25" i="1"/>
  <c r="L25" i="1"/>
  <c r="K25" i="1"/>
  <c r="J25" i="1"/>
  <c r="I25" i="1"/>
  <c r="H25" i="1"/>
  <c r="M19" i="1"/>
  <c r="L19" i="1"/>
  <c r="K19" i="1"/>
  <c r="J19" i="1"/>
  <c r="I19" i="1"/>
  <c r="H19" i="1"/>
  <c r="G19" i="1"/>
  <c r="M13" i="1"/>
  <c r="L13" i="1"/>
  <c r="K13" i="1"/>
  <c r="J13" i="1"/>
  <c r="I13" i="1"/>
  <c r="H13" i="1"/>
  <c r="G13" i="1"/>
  <c r="M7" i="1"/>
  <c r="L7" i="1"/>
  <c r="K7" i="1"/>
  <c r="J7" i="1"/>
  <c r="I7" i="1"/>
  <c r="H7" i="1"/>
  <c r="G7" i="1"/>
</calcChain>
</file>

<file path=xl/sharedStrings.xml><?xml version="1.0" encoding="utf-8"?>
<sst xmlns="http://schemas.openxmlformats.org/spreadsheetml/2006/main" count="62" uniqueCount="35">
  <si>
    <t xml:space="preserve">Qty </t>
  </si>
  <si>
    <t xml:space="preserve">Value </t>
  </si>
  <si>
    <t>Part</t>
  </si>
  <si>
    <t>Package</t>
  </si>
  <si>
    <t>Reseller</t>
  </si>
  <si>
    <t>Stock #</t>
  </si>
  <si>
    <t>Device</t>
  </si>
  <si>
    <t>ATMega1284P-AU</t>
  </si>
  <si>
    <t>Farnell</t>
  </si>
  <si>
    <t>RS</t>
  </si>
  <si>
    <t>DigiKey</t>
  </si>
  <si>
    <t>ATMEGA1284P-AU-ND</t>
  </si>
  <si>
    <t>696-3011</t>
  </si>
  <si>
    <t>x1</t>
  </si>
  <si>
    <t>x5</t>
  </si>
  <si>
    <t>x10</t>
  </si>
  <si>
    <t>x25</t>
  </si>
  <si>
    <t>x100</t>
  </si>
  <si>
    <t>x500</t>
  </si>
  <si>
    <t>x250</t>
  </si>
  <si>
    <t>Mouser</t>
  </si>
  <si>
    <t>556-ATMEGA1284P-AU</t>
  </si>
  <si>
    <t>Cheapest reseller</t>
  </si>
  <si>
    <t>ATMega324P-AU</t>
  </si>
  <si>
    <t>ATMega644P-AU</t>
  </si>
  <si>
    <t>719-3979</t>
  </si>
  <si>
    <t>ATMEGA644PA-AU-ND</t>
  </si>
  <si>
    <t>556-ATMEGA644PA-AU</t>
  </si>
  <si>
    <t>696-3099</t>
  </si>
  <si>
    <t>ATMEGA324P-AU-ND</t>
  </si>
  <si>
    <t>556-ATMEGA324P-AU</t>
  </si>
  <si>
    <t>ATMega164P-AU</t>
  </si>
  <si>
    <t>ATMEGA164P-AU-ND</t>
  </si>
  <si>
    <t>556-ATMEGA164P-AU</t>
  </si>
  <si>
    <t>696-3231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</si>
</sst>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€&quot;\ #,##0.00_-;[Red]&quot;€&quot;\ #,##0.00\-"/>
    <numFmt numFmtId="44" formatCode="_-&quot;€&quot;\ * #,##0.00_-;_-&quot;€&quot;\ * #,##0.00\-;_-&quot;€&quot;\ * &quot;-&quot;??_-;_-@_-"/>
    <numFmt numFmtId="164" formatCode="&quot;€&quot;\ #,##0.000_-"/>
    <numFmt numFmtId="165" formatCode="&quot;€&quot;\ #,##0.000_-;[Red]&quot;€&quot;\ #,##0.000\-"/>
    <numFmt numFmtId="166" formatCode="_-[$€-413]\ * #,##0.00_-;_-[$€-413]\ * #,##0.00\-;_-[$€-413]\ * &quot;-&quot;??_-;_-@_-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scheme val="minor"/>
    </font>
    <font>
      <sz val="12"/>
      <color indexed="8"/>
      <name val="Calibri"/>
      <family val="2"/>
      <scheme val="minor"/>
    </font>
    <font>
      <sz val="12"/>
      <color indexed="17"/>
      <name val="Calibri"/>
      <family val="2"/>
      <scheme val="minor"/>
    </font>
    <font>
      <sz val="12"/>
      <color indexed="22"/>
      <name val="Calibri"/>
      <family val="2"/>
      <scheme val="minor"/>
    </font>
    <font>
      <b/>
      <sz val="12"/>
      <color rgb="FF000000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C0504D"/>
      </left>
      <right/>
      <top style="thin">
        <color rgb="FFC0504D"/>
      </top>
      <bottom/>
      <diagonal/>
    </border>
    <border>
      <left/>
      <right/>
      <top style="thin">
        <color rgb="FFC0504D"/>
      </top>
      <bottom/>
      <diagonal/>
    </border>
    <border>
      <left/>
      <right style="thin">
        <color rgb="FFC0504D"/>
      </right>
      <top style="thin">
        <color rgb="FFC0504D"/>
      </top>
      <bottom/>
      <diagonal/>
    </border>
  </borders>
  <cellStyleXfs count="4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164" fontId="0" fillId="0" borderId="0" xfId="2" applyNumberFormat="1" applyFont="1"/>
    <xf numFmtId="164" fontId="0" fillId="0" borderId="0" xfId="1" applyNumberFormat="1" applyFont="1"/>
    <xf numFmtId="8" fontId="0" fillId="0" borderId="0" xfId="1" applyNumberFormat="1" applyFont="1"/>
    <xf numFmtId="0" fontId="0" fillId="0" borderId="0" xfId="0" applyFill="1" applyAlignment="1">
      <alignment horizontal="left" vertical="top" wrapText="1"/>
    </xf>
    <xf numFmtId="0" fontId="0" fillId="0" borderId="0" xfId="0" applyFill="1" applyAlignment="1">
      <alignment horizontal="left" vertical="top"/>
    </xf>
    <xf numFmtId="0" fontId="0" fillId="0" borderId="0" xfId="0" applyFill="1"/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left" vertical="top" wrapText="1"/>
    </xf>
    <xf numFmtId="0" fontId="3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/>
    </xf>
    <xf numFmtId="164" fontId="3" fillId="0" borderId="0" xfId="2" applyNumberFormat="1" applyFont="1" applyFill="1"/>
    <xf numFmtId="164" fontId="3" fillId="0" borderId="0" xfId="1" applyNumberFormat="1" applyFont="1" applyFill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164" fontId="0" fillId="0" borderId="0" xfId="2" applyNumberFormat="1" applyFont="1" applyAlignment="1">
      <alignment horizontal="left" vertical="center"/>
    </xf>
    <xf numFmtId="8" fontId="0" fillId="0" borderId="0" xfId="1" applyNumberFormat="1" applyFont="1" applyAlignment="1">
      <alignment horizontal="left" vertical="center"/>
    </xf>
    <xf numFmtId="0" fontId="0" fillId="0" borderId="0" xfId="0" applyFill="1" applyAlignment="1">
      <alignment horizontal="left" vertical="center"/>
    </xf>
    <xf numFmtId="165" fontId="0" fillId="0" borderId="0" xfId="1" applyNumberFormat="1" applyFont="1" applyFill="1" applyAlignment="1">
      <alignment horizontal="right" vertical="center"/>
    </xf>
    <xf numFmtId="8" fontId="0" fillId="0" borderId="0" xfId="1" applyNumberFormat="1" applyFont="1" applyFill="1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41" applyFont="1" applyAlignment="1">
      <alignment horizontal="left"/>
    </xf>
    <xf numFmtId="0" fontId="1" fillId="0" borderId="0" xfId="0" applyFont="1" applyFill="1" applyAlignment="1">
      <alignment horizontal="left" vertical="center"/>
    </xf>
    <xf numFmtId="0" fontId="8" fillId="0" borderId="0" xfId="0" applyFont="1"/>
    <xf numFmtId="44" fontId="0" fillId="0" borderId="0" xfId="1" applyFont="1" applyFill="1" applyAlignment="1">
      <alignment horizontal="left" vertical="center"/>
    </xf>
    <xf numFmtId="44" fontId="0" fillId="0" borderId="0" xfId="1" applyFont="1" applyAlignment="1">
      <alignment horizontal="left" vertical="center"/>
    </xf>
    <xf numFmtId="166" fontId="0" fillId="0" borderId="0" xfId="0" applyNumberFormat="1" applyFill="1" applyAlignment="1">
      <alignment horizontal="left" vertical="center"/>
    </xf>
    <xf numFmtId="166" fontId="0" fillId="0" borderId="0" xfId="1" applyNumberFormat="1" applyFont="1" applyFill="1" applyAlignment="1">
      <alignment horizontal="right" vertical="center"/>
    </xf>
    <xf numFmtId="166" fontId="0" fillId="0" borderId="0" xfId="1" applyNumberFormat="1" applyFont="1" applyFill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6" fontId="0" fillId="0" borderId="0" xfId="1" applyNumberFormat="1" applyFont="1" applyAlignment="1">
      <alignment horizontal="right" vertical="center"/>
    </xf>
    <xf numFmtId="166" fontId="0" fillId="0" borderId="0" xfId="1" applyNumberFormat="1" applyFont="1" applyAlignment="1">
      <alignment horizontal="left" vertical="center"/>
    </xf>
    <xf numFmtId="166" fontId="0" fillId="0" borderId="0" xfId="0" applyNumberFormat="1" applyAlignment="1">
      <alignment horizontal="right" vertical="center"/>
    </xf>
    <xf numFmtId="166" fontId="3" fillId="0" borderId="0" xfId="0" applyNumberFormat="1" applyFont="1" applyFill="1" applyAlignment="1">
      <alignment vertical="center"/>
    </xf>
    <xf numFmtId="166" fontId="3" fillId="0" borderId="0" xfId="0" applyNumberFormat="1" applyFont="1" applyFill="1" applyAlignment="1">
      <alignment horizontal="right" vertical="center"/>
    </xf>
    <xf numFmtId="166" fontId="0" fillId="0" borderId="0" xfId="0" applyNumberFormat="1" applyAlignment="1">
      <alignment vertical="center"/>
    </xf>
    <xf numFmtId="166" fontId="0" fillId="0" borderId="0" xfId="0" applyNumberFormat="1" applyAlignment="1">
      <alignment horizontal="left" vertical="top"/>
    </xf>
    <xf numFmtId="166" fontId="0" fillId="0" borderId="0" xfId="0" applyNumberFormat="1"/>
    <xf numFmtId="166" fontId="3" fillId="0" borderId="0" xfId="0" applyNumberFormat="1" applyFont="1" applyFill="1"/>
    <xf numFmtId="44" fontId="0" fillId="0" borderId="0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4" fontId="0" fillId="0" borderId="0" xfId="0" applyNumberForma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166" fontId="7" fillId="0" borderId="0" xfId="0" applyNumberFormat="1" applyFont="1" applyFill="1" applyAlignment="1">
      <alignment horizontal="left" vertical="center"/>
    </xf>
    <xf numFmtId="44" fontId="10" fillId="0" borderId="0" xfId="0" applyNumberFormat="1" applyFont="1" applyFill="1" applyAlignment="1">
      <alignment horizontal="left" vertical="center"/>
    </xf>
    <xf numFmtId="44" fontId="11" fillId="0" borderId="0" xfId="0" applyNumberFormat="1" applyFont="1" applyFill="1" applyAlignment="1">
      <alignment horizontal="left" vertical="center"/>
    </xf>
    <xf numFmtId="166" fontId="11" fillId="0" borderId="0" xfId="1" applyNumberFormat="1" applyFont="1" applyFill="1" applyAlignment="1">
      <alignment horizontal="right" vertical="center"/>
    </xf>
    <xf numFmtId="166" fontId="10" fillId="0" borderId="0" xfId="1" applyNumberFormat="1" applyFont="1" applyFill="1" applyAlignment="1">
      <alignment horizontal="right" vertical="center"/>
    </xf>
    <xf numFmtId="44" fontId="11" fillId="0" borderId="0" xfId="1" applyFont="1" applyFill="1" applyAlignment="1">
      <alignment horizontal="left" vertical="center"/>
    </xf>
    <xf numFmtId="44" fontId="10" fillId="0" borderId="0" xfId="1" applyFont="1" applyFill="1" applyAlignment="1">
      <alignment horizontal="left" vertical="center"/>
    </xf>
    <xf numFmtId="166" fontId="11" fillId="0" borderId="0" xfId="1" applyNumberFormat="1" applyFont="1" applyFill="1" applyAlignment="1">
      <alignment horizontal="left" vertical="center"/>
    </xf>
    <xf numFmtId="166" fontId="10" fillId="0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44" fontId="10" fillId="0" borderId="0" xfId="1" applyFont="1" applyFill="1" applyAlignment="1">
      <alignment horizontal="right" vertical="center"/>
    </xf>
    <xf numFmtId="44" fontId="11" fillId="0" borderId="0" xfId="1" applyFont="1" applyFill="1" applyAlignment="1">
      <alignment horizontal="right" vertical="center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top"/>
    </xf>
    <xf numFmtId="0" fontId="8" fillId="0" borderId="2" xfId="0" applyFont="1" applyBorder="1" applyAlignment="1">
      <alignment horizontal="left" vertical="center"/>
    </xf>
    <xf numFmtId="0" fontId="4" fillId="0" borderId="2" xfId="41" applyBorder="1" applyAlignment="1">
      <alignment horizontal="left"/>
    </xf>
    <xf numFmtId="0" fontId="8" fillId="0" borderId="2" xfId="0" applyFont="1" applyBorder="1"/>
    <xf numFmtId="0" fontId="12" fillId="0" borderId="1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166" fontId="11" fillId="0" borderId="3" xfId="0" applyNumberFormat="1" applyFont="1" applyBorder="1" applyAlignment="1">
      <alignment horizontal="left" vertical="center"/>
    </xf>
    <xf numFmtId="44" fontId="11" fillId="0" borderId="2" xfId="0" applyNumberFormat="1" applyFont="1" applyBorder="1" applyAlignment="1">
      <alignment horizontal="left" vertical="center"/>
    </xf>
    <xf numFmtId="44" fontId="10" fillId="0" borderId="2" xfId="0" applyNumberFormat="1" applyFont="1" applyBorder="1" applyAlignment="1">
      <alignment horizontal="left" vertical="center"/>
    </xf>
    <xf numFmtId="166" fontId="11" fillId="0" borderId="2" xfId="0" applyNumberFormat="1" applyFont="1" applyBorder="1" applyAlignment="1">
      <alignment horizontal="right" vertical="center"/>
    </xf>
    <xf numFmtId="166" fontId="10" fillId="0" borderId="2" xfId="0" applyNumberFormat="1" applyFont="1" applyBorder="1" applyAlignment="1">
      <alignment horizontal="right" vertical="center"/>
    </xf>
    <xf numFmtId="44" fontId="11" fillId="0" borderId="2" xfId="0" applyNumberFormat="1" applyFont="1" applyBorder="1" applyAlignment="1">
      <alignment horizontal="right" vertical="center"/>
    </xf>
    <xf numFmtId="166" fontId="10" fillId="0" borderId="3" xfId="0" applyNumberFormat="1" applyFont="1" applyBorder="1" applyAlignment="1">
      <alignment horizontal="left" vertical="center"/>
    </xf>
    <xf numFmtId="44" fontId="3" fillId="0" borderId="0" xfId="0" applyNumberFormat="1" applyFont="1" applyAlignment="1">
      <alignment horizontal="left" vertical="center"/>
    </xf>
  </cellXfs>
  <cellStyles count="42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/>
    <cellStyle name="Normal" xfId="0" builtinId="0"/>
    <cellStyle name="Percent" xfId="2" builtinId="5"/>
  </cellStyles>
  <dxfs count="18">
    <dxf>
      <numFmt numFmtId="166" formatCode="_-[$€-413]\ * #,##0.00_-;_-[$€-413]\ * #,##0.00\-;_-[$€-413]\ 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4" formatCode="_-&quot;€&quot;\ * #,##0.00_-;_-&quot;€&quot;\ * #,##0.00\-;_-&quot;€&quot;\ * &quot;-&quot;??_-;_-@_-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4" formatCode="_-&quot;€&quot;\ * #,##0.00_-;_-&quot;€&quot;\ * #,##0.00\-;_-&quot;€&quot;\ * &quot;-&quot;??_-;_-@_-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_-[$€-413]\ * #,##0.00_-;_-[$€-413]\ * #,##0.00\-;_-[$€-413]\ * &quot;-&quot;??_-;_-@_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_-[$€-413]\ * #,##0.00_-;_-[$€-413]\ * #,##0.00\-;_-[$€-413]\ 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6" formatCode="_-[$€-413]\ * #,##0.00_-;_-[$€-413]\ * #,##0.00\-;_-[$€-413]\ * &quot;-&quot;??_-;_-@_-"/>
      <alignment horizontal="right" vertical="center" textRotation="0" wrapText="0" indent="0" justifyLastLine="0" shrinkToFit="0" readingOrder="0"/>
    </dxf>
    <dxf>
      <numFmt numFmtId="166" formatCode="_-[$€-413]\ * #,##0.00_-;_-[$€-413]\ * #,##0.00\-;_-[$€-413]\ * &quot;-&quot;??_-;_-@_-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center" vertical="center" textRotation="0" wrapText="0" justifyLastLine="0" shrinkToFit="0"/>
    </dxf>
    <dxf>
      <alignment vertical="center" textRotation="0" justifyLastLine="0" shrinkToFit="0"/>
    </dxf>
    <dxf>
      <alignment horizontal="left" vertical="top" textRotation="0" indent="0" justifyLastLine="0" shrinkToFit="0"/>
    </dxf>
    <dxf>
      <alignment horizontal="left" vertical="top" textRotation="0" indent="0" justifyLastLine="0" shrinkToFit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M28" totalsRowCount="1" headerRowDxfId="17" dataDxfId="16" totalsRowDxfId="15">
  <autoFilter ref="A1:M27"/>
  <sortState ref="A2:H26">
    <sortCondition ref="A1:A26"/>
  </sortState>
  <tableColumns count="13">
    <tableColumn id="4" name="Part" totalsRowDxfId="12"/>
    <tableColumn id="1" name="Qty " dataDxfId="14" totalsRowDxfId="11"/>
    <tableColumn id="9" name="Device" totalsRowDxfId="10"/>
    <tableColumn id="2" name="Value " totalsRowDxfId="9"/>
    <tableColumn id="5" name="Reseller" totalsRowDxfId="8"/>
    <tableColumn id="6" name="Stock #" totalsRowDxfId="7"/>
    <tableColumn id="11" name="x1" totalsRowDxfId="6"/>
    <tableColumn id="7" name="x5" totalsRowDxfId="5" dataCellStyle="Currency"/>
    <tableColumn id="8" name="x10" totalsRowDxfId="4" dataCellStyle="Currency"/>
    <tableColumn id="12" name="x25" totalsRowDxfId="3" dataCellStyle="Currency"/>
    <tableColumn id="10" name="x100" totalsRowDxfId="2" dataCellStyle="Currency"/>
    <tableColumn id="14" name="x250" dataDxfId="13" totalsRowDxfId="1" dataCellStyle="Currency"/>
    <tableColumn id="13" name="x500" totalsRowDxfId="0" dataCellStyle="Currency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nl.farnell.com/atmel/atmega1284p-au/mcu-8bit-avr-128k-flash-44tqfp/dp/1715480" TargetMode="External"/><Relationship Id="rId4" Type="http://schemas.openxmlformats.org/officeDocument/2006/relationships/table" Target="../tables/table1.xml"/><Relationship Id="rId1" Type="http://schemas.openxmlformats.org/officeDocument/2006/relationships/hyperlink" Target="http://nl.farnell.com/atmel/atmega1284p-au/mcu-8bit-avr-128k-flash-44tqfp/dp/1715480" TargetMode="External"/><Relationship Id="rId2" Type="http://schemas.openxmlformats.org/officeDocument/2006/relationships/hyperlink" Target="http://nl.farnell.com/atmel/atmega1284p-au/mcu-8bit-avr-128k-flash-44tqfp/dp/171548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36"/>
  <sheetViews>
    <sheetView tabSelected="1" workbookViewId="0">
      <selection activeCell="F25" sqref="F25"/>
    </sheetView>
  </sheetViews>
  <sheetFormatPr baseColWidth="10" defaultRowHeight="15" x14ac:dyDescent="0"/>
  <cols>
    <col min="1" max="1" width="46.1640625" style="3" customWidth="1"/>
    <col min="2" max="2" width="11" style="18" customWidth="1"/>
    <col min="3" max="3" width="9.1640625" style="17" customWidth="1"/>
    <col min="4" max="4" width="10.33203125" style="2" customWidth="1"/>
    <col min="6" max="6" width="22.83203125" style="1" customWidth="1"/>
    <col min="7" max="7" width="11" style="4" customWidth="1"/>
    <col min="8" max="8" width="10.83203125" style="5"/>
    <col min="9" max="9" width="10.33203125" style="6" customWidth="1"/>
    <col min="10" max="10" width="10.5" customWidth="1"/>
    <col min="11" max="11" width="10.6640625" style="46" customWidth="1"/>
    <col min="12" max="12" width="11.1640625" customWidth="1"/>
    <col min="13" max="13" width="12.1640625" customWidth="1"/>
  </cols>
  <sheetData>
    <row r="1" spans="1:13">
      <c r="A1" s="3" t="s">
        <v>2</v>
      </c>
      <c r="B1" s="18" t="s">
        <v>0</v>
      </c>
      <c r="C1" s="17" t="s">
        <v>6</v>
      </c>
      <c r="D1" s="19" t="s">
        <v>1</v>
      </c>
      <c r="E1" s="19" t="s">
        <v>4</v>
      </c>
      <c r="F1" s="19" t="s">
        <v>5</v>
      </c>
      <c r="G1" s="19" t="s">
        <v>13</v>
      </c>
      <c r="H1" s="23" t="s">
        <v>14</v>
      </c>
      <c r="I1" s="24" t="s">
        <v>15</v>
      </c>
      <c r="J1" s="2" t="s">
        <v>16</v>
      </c>
      <c r="K1" s="45" t="s">
        <v>17</v>
      </c>
      <c r="L1" s="45" t="s">
        <v>19</v>
      </c>
      <c r="M1" s="2" t="s">
        <v>18</v>
      </c>
    </row>
    <row r="2" spans="1:13" s="9" customFormat="1">
      <c r="A2" s="7"/>
      <c r="B2" s="28"/>
      <c r="C2" s="21"/>
      <c r="D2" s="8"/>
      <c r="E2" s="25"/>
      <c r="F2" s="25"/>
      <c r="G2" s="50"/>
      <c r="H2" s="26"/>
      <c r="I2" s="27"/>
      <c r="J2" s="27"/>
      <c r="K2" s="33"/>
      <c r="L2" s="33"/>
      <c r="M2" s="33"/>
    </row>
    <row r="3" spans="1:13" s="9" customFormat="1">
      <c r="A3" s="7" t="s">
        <v>7</v>
      </c>
      <c r="B3" s="28"/>
      <c r="C3" s="21"/>
      <c r="D3" s="8"/>
      <c r="E3" s="51" t="s">
        <v>8</v>
      </c>
      <c r="F3" s="30">
        <v>1715480</v>
      </c>
      <c r="G3" s="54">
        <v>7.97</v>
      </c>
      <c r="H3" s="55">
        <v>6.93</v>
      </c>
      <c r="I3" s="55">
        <v>6.27</v>
      </c>
      <c r="J3" s="55">
        <v>5.15</v>
      </c>
      <c r="K3" s="57">
        <v>4.9000000000000004</v>
      </c>
      <c r="L3" s="57">
        <v>4.9000000000000004</v>
      </c>
      <c r="M3" s="59">
        <v>4.75</v>
      </c>
    </row>
    <row r="4" spans="1:13" s="9" customFormat="1">
      <c r="A4" s="7" t="s">
        <v>7</v>
      </c>
      <c r="B4" s="28"/>
      <c r="C4" s="21"/>
      <c r="D4" s="8"/>
      <c r="E4" s="51" t="s">
        <v>9</v>
      </c>
      <c r="F4" s="31" t="s">
        <v>12</v>
      </c>
      <c r="G4" s="53">
        <v>6.53</v>
      </c>
      <c r="H4" s="56">
        <v>6.53</v>
      </c>
      <c r="I4" s="55">
        <v>6.21</v>
      </c>
      <c r="J4" s="55">
        <v>6.21</v>
      </c>
      <c r="K4" s="57">
        <v>5.9</v>
      </c>
      <c r="L4" s="57">
        <v>5.6</v>
      </c>
      <c r="M4" s="59">
        <v>5.6</v>
      </c>
    </row>
    <row r="5" spans="1:13" s="9" customFormat="1">
      <c r="A5" s="7" t="s">
        <v>7</v>
      </c>
      <c r="B5" s="28"/>
      <c r="C5" s="21"/>
      <c r="D5" s="8"/>
      <c r="E5" s="51" t="s">
        <v>10</v>
      </c>
      <c r="F5" s="32" t="s">
        <v>11</v>
      </c>
      <c r="G5" s="54">
        <v>6.93</v>
      </c>
      <c r="H5" s="55">
        <v>6.93</v>
      </c>
      <c r="I5" s="55">
        <v>6.93</v>
      </c>
      <c r="J5" s="55">
        <v>4.3499999999999996</v>
      </c>
      <c r="K5" s="57">
        <v>3.87</v>
      </c>
      <c r="L5" s="57">
        <v>3.87</v>
      </c>
      <c r="M5" s="59">
        <v>3.87</v>
      </c>
    </row>
    <row r="6" spans="1:13" s="9" customFormat="1">
      <c r="A6" s="7" t="s">
        <v>7</v>
      </c>
      <c r="B6" s="28"/>
      <c r="C6" s="21"/>
      <c r="D6" s="8"/>
      <c r="E6" s="51" t="s">
        <v>20</v>
      </c>
      <c r="F6" s="32" t="s">
        <v>21</v>
      </c>
      <c r="G6" s="54">
        <v>6.77</v>
      </c>
      <c r="H6" s="54">
        <v>6.77</v>
      </c>
      <c r="I6" s="65">
        <v>5.65</v>
      </c>
      <c r="J6" s="65">
        <v>4.25</v>
      </c>
      <c r="K6" s="58">
        <v>3.84</v>
      </c>
      <c r="L6" s="58">
        <v>3.84</v>
      </c>
      <c r="M6" s="58">
        <v>3.84</v>
      </c>
    </row>
    <row r="7" spans="1:13" s="64" customFormat="1" ht="31" customHeight="1">
      <c r="A7" s="49" t="s">
        <v>22</v>
      </c>
      <c r="B7" s="61"/>
      <c r="C7" s="49"/>
      <c r="D7" s="62"/>
      <c r="E7" s="62"/>
      <c r="F7" s="86"/>
      <c r="G7" s="63" t="str">
        <f>CheapestReseller(G3:G6,E3:E6)</f>
        <v>RS</v>
      </c>
      <c r="H7" s="63" t="str">
        <f>CheapestReseller(H3:H6,E3:E6)</f>
        <v>RS</v>
      </c>
      <c r="I7" s="63" t="str">
        <f>CheapestReseller(I3:I6,E3:E6)</f>
        <v>Mouser</v>
      </c>
      <c r="J7" s="63" t="str">
        <f>CheapestReseller(J3:J6,E3:E6)</f>
        <v>Mouser</v>
      </c>
      <c r="K7" s="63" t="str">
        <f>CheapestReseller(K3:K6,E3:E6)</f>
        <v>Mouser</v>
      </c>
      <c r="L7" s="63" t="str">
        <f>CheapestReseller(L3:L6,E3:E6)</f>
        <v>Mouser</v>
      </c>
      <c r="M7" s="63" t="str">
        <f>CheapestReseller(M3:M6,E3:E6)</f>
        <v>Mouser</v>
      </c>
    </row>
    <row r="8" spans="1:13" s="9" customFormat="1">
      <c r="A8" s="7"/>
      <c r="B8" s="28"/>
      <c r="C8" s="21"/>
      <c r="D8" s="8"/>
      <c r="E8" s="25"/>
      <c r="F8" s="25"/>
      <c r="G8" s="52"/>
      <c r="H8" s="36"/>
      <c r="I8" s="36"/>
      <c r="J8" s="36"/>
      <c r="K8" s="33"/>
      <c r="L8" s="33"/>
      <c r="M8" s="37"/>
    </row>
    <row r="9" spans="1:13" s="9" customFormat="1">
      <c r="A9" s="7" t="s">
        <v>24</v>
      </c>
      <c r="B9" s="28"/>
      <c r="C9" s="21"/>
      <c r="D9" s="8"/>
      <c r="E9" s="51" t="s">
        <v>8</v>
      </c>
      <c r="F9" s="30">
        <v>1972106</v>
      </c>
      <c r="G9" s="54">
        <v>6.05</v>
      </c>
      <c r="H9" s="55">
        <v>5.36</v>
      </c>
      <c r="I9" s="55">
        <v>5.14</v>
      </c>
      <c r="J9" s="55">
        <v>4.41</v>
      </c>
      <c r="K9" s="57">
        <v>4.25</v>
      </c>
      <c r="L9" s="57">
        <v>4.25</v>
      </c>
      <c r="M9" s="59">
        <v>4.09</v>
      </c>
    </row>
    <row r="10" spans="1:13" s="9" customFormat="1">
      <c r="A10" s="7" t="s">
        <v>24</v>
      </c>
      <c r="B10" s="28"/>
      <c r="C10" s="21"/>
      <c r="D10" s="8"/>
      <c r="E10" s="51" t="s">
        <v>9</v>
      </c>
      <c r="F10" s="78" t="s">
        <v>25</v>
      </c>
      <c r="G10" s="53">
        <v>5.48</v>
      </c>
      <c r="H10" s="56">
        <v>4.95</v>
      </c>
      <c r="I10" s="56">
        <v>4.95</v>
      </c>
      <c r="J10" s="55">
        <v>4.43</v>
      </c>
      <c r="K10" s="57">
        <v>3.93</v>
      </c>
      <c r="L10" s="58">
        <v>3.53</v>
      </c>
      <c r="M10" s="60">
        <v>3.53</v>
      </c>
    </row>
    <row r="11" spans="1:13" s="9" customFormat="1">
      <c r="A11" s="7" t="s">
        <v>24</v>
      </c>
      <c r="B11" s="28"/>
      <c r="C11" s="21"/>
      <c r="D11" s="8"/>
      <c r="E11" s="51" t="s">
        <v>10</v>
      </c>
      <c r="F11" s="32" t="s">
        <v>26</v>
      </c>
      <c r="G11" s="54">
        <v>6.38</v>
      </c>
      <c r="H11" s="54">
        <v>6.38</v>
      </c>
      <c r="I11" s="54">
        <v>6.38</v>
      </c>
      <c r="J11" s="55">
        <v>4.01</v>
      </c>
      <c r="K11" s="57">
        <v>3.56</v>
      </c>
      <c r="L11" s="57">
        <v>3.56</v>
      </c>
      <c r="M11" s="57">
        <v>3.56</v>
      </c>
    </row>
    <row r="12" spans="1:13" s="9" customFormat="1">
      <c r="A12" s="7" t="s">
        <v>24</v>
      </c>
      <c r="B12" s="28"/>
      <c r="C12" s="21"/>
      <c r="D12" s="8"/>
      <c r="E12" s="51" t="s">
        <v>20</v>
      </c>
      <c r="F12" s="32" t="s">
        <v>27</v>
      </c>
      <c r="G12" s="54">
        <v>6.23</v>
      </c>
      <c r="H12" s="54">
        <v>6.23</v>
      </c>
      <c r="I12" s="66">
        <v>5.2</v>
      </c>
      <c r="J12" s="65">
        <v>3.91</v>
      </c>
      <c r="K12" s="58">
        <v>3.53</v>
      </c>
      <c r="L12" s="58">
        <v>3.53</v>
      </c>
      <c r="M12" s="58">
        <v>3.53</v>
      </c>
    </row>
    <row r="13" spans="1:13" s="64" customFormat="1" ht="31" customHeight="1">
      <c r="A13" s="49" t="s">
        <v>22</v>
      </c>
      <c r="B13" s="61"/>
      <c r="C13" s="49"/>
      <c r="D13" s="62"/>
      <c r="E13" s="62"/>
      <c r="F13" s="62"/>
      <c r="G13" s="63" t="str">
        <f>CheapestReseller(G9:G12,E9:E12)</f>
        <v>RS</v>
      </c>
      <c r="H13" s="63" t="str">
        <f>CheapestReseller(H9:H12,E9:E12)</f>
        <v>RS</v>
      </c>
      <c r="I13" s="63" t="str">
        <f>CheapestReseller(I9:I12,E9:E12)</f>
        <v>RS</v>
      </c>
      <c r="J13" s="63" t="str">
        <f>CheapestReseller(J9:J12,E9:E12)</f>
        <v>Mouser</v>
      </c>
      <c r="K13" s="63" t="str">
        <f>CheapestReseller(K9:K12,E9:E12)</f>
        <v>Mouser</v>
      </c>
      <c r="L13" s="63" t="str">
        <f>CheapestReseller(L9:L12,E9:E12)</f>
        <v>RS, Mouser</v>
      </c>
      <c r="M13" s="63" t="str">
        <f>CheapestReseller(M9:M12,E9:E12)</f>
        <v>RS, Mouser</v>
      </c>
    </row>
    <row r="14" spans="1:13" s="9" customFormat="1" ht="19" customHeight="1">
      <c r="A14" s="7"/>
      <c r="B14" s="28"/>
      <c r="C14" s="21"/>
      <c r="D14" s="8"/>
      <c r="E14" s="25"/>
      <c r="F14" s="25"/>
      <c r="G14" s="35"/>
      <c r="H14" s="36"/>
      <c r="I14" s="36"/>
      <c r="J14" s="36"/>
      <c r="K14" s="33"/>
      <c r="L14" s="33"/>
      <c r="M14" s="37"/>
    </row>
    <row r="15" spans="1:13" s="9" customFormat="1">
      <c r="A15" s="7" t="s">
        <v>23</v>
      </c>
      <c r="B15" s="28"/>
      <c r="C15" s="21"/>
      <c r="D15" s="8"/>
      <c r="E15" s="51" t="s">
        <v>8</v>
      </c>
      <c r="F15" s="30">
        <v>1715482</v>
      </c>
      <c r="G15" s="54">
        <v>6.1</v>
      </c>
      <c r="H15" s="55">
        <v>5.19</v>
      </c>
      <c r="I15" s="55">
        <v>4.32</v>
      </c>
      <c r="J15" s="55">
        <v>3.53</v>
      </c>
      <c r="K15" s="57">
        <v>3.27</v>
      </c>
      <c r="L15" s="57">
        <v>3.27</v>
      </c>
      <c r="M15" s="59">
        <v>3.09</v>
      </c>
    </row>
    <row r="16" spans="1:13" s="9" customFormat="1">
      <c r="A16" s="7" t="s">
        <v>23</v>
      </c>
      <c r="B16" s="28"/>
      <c r="C16" s="21"/>
      <c r="D16" s="8"/>
      <c r="E16" s="51" t="s">
        <v>9</v>
      </c>
      <c r="F16" s="78" t="s">
        <v>28</v>
      </c>
      <c r="G16" s="54">
        <v>5.72</v>
      </c>
      <c r="H16" s="54">
        <v>5.72</v>
      </c>
      <c r="I16" s="55">
        <v>4.0599999999999996</v>
      </c>
      <c r="J16" s="55">
        <v>4.0599999999999996</v>
      </c>
      <c r="K16" s="57">
        <v>3.49</v>
      </c>
      <c r="L16" s="57">
        <v>3.24</v>
      </c>
      <c r="M16" s="57">
        <v>3.24</v>
      </c>
    </row>
    <row r="17" spans="1:13" s="9" customFormat="1">
      <c r="A17" s="7" t="s">
        <v>23</v>
      </c>
      <c r="B17" s="28"/>
      <c r="C17" s="21"/>
      <c r="D17" s="8"/>
      <c r="E17" s="51" t="s">
        <v>10</v>
      </c>
      <c r="F17" s="32" t="s">
        <v>29</v>
      </c>
      <c r="G17" s="54">
        <v>4.9800000000000004</v>
      </c>
      <c r="H17" s="54">
        <v>4.9800000000000004</v>
      </c>
      <c r="I17" s="54">
        <v>4.9800000000000004</v>
      </c>
      <c r="J17" s="55">
        <v>3.13</v>
      </c>
      <c r="K17" s="57">
        <v>2.78</v>
      </c>
      <c r="L17" s="57">
        <v>2.78</v>
      </c>
      <c r="M17" s="57">
        <v>2.78</v>
      </c>
    </row>
    <row r="18" spans="1:13" s="9" customFormat="1">
      <c r="A18" s="7" t="s">
        <v>23</v>
      </c>
      <c r="B18" s="28"/>
      <c r="C18" s="21"/>
      <c r="D18" s="8"/>
      <c r="E18" s="51" t="s">
        <v>20</v>
      </c>
      <c r="F18" s="32" t="s">
        <v>30</v>
      </c>
      <c r="G18" s="53">
        <v>4.8600000000000003</v>
      </c>
      <c r="H18" s="53">
        <v>4.8600000000000003</v>
      </c>
      <c r="I18" s="65">
        <v>4.05</v>
      </c>
      <c r="J18" s="65">
        <v>3.05</v>
      </c>
      <c r="K18" s="58">
        <v>2.76</v>
      </c>
      <c r="L18" s="58">
        <v>2.76</v>
      </c>
      <c r="M18" s="58">
        <v>2.76</v>
      </c>
    </row>
    <row r="19" spans="1:13" s="64" customFormat="1" ht="31" customHeight="1">
      <c r="A19" s="49" t="s">
        <v>22</v>
      </c>
      <c r="B19" s="61"/>
      <c r="C19" s="49"/>
      <c r="D19" s="62"/>
      <c r="E19" s="62"/>
      <c r="F19" s="62"/>
      <c r="G19" s="63" t="str">
        <f>CheapestReseller(G15:G18,E15:E18)</f>
        <v>Mouser</v>
      </c>
      <c r="H19" s="63" t="str">
        <f>CheapestReseller(H15:H18,E15:E18)</f>
        <v>Mouser</v>
      </c>
      <c r="I19" s="63" t="str">
        <f>CheapestReseller(I15:I18,E15:E18)</f>
        <v>Mouser</v>
      </c>
      <c r="J19" s="63" t="str">
        <f>CheapestReseller(J15:J18,E15:E18)</f>
        <v>Mouser</v>
      </c>
      <c r="K19" s="63" t="str">
        <f>CheapestReseller(K15:K18,E15:E18)</f>
        <v>Mouser</v>
      </c>
      <c r="L19" s="63" t="str">
        <f>CheapestReseller(L15:L18,E15:E18)</f>
        <v>Mouser</v>
      </c>
      <c r="M19" s="63" t="str">
        <f>CheapestReseller(M15:M18,E15:E18)</f>
        <v>Mouser</v>
      </c>
    </row>
    <row r="20" spans="1:13" s="9" customFormat="1">
      <c r="A20" s="7"/>
      <c r="B20" s="28"/>
      <c r="C20" s="21"/>
      <c r="D20" s="8"/>
      <c r="E20" s="25"/>
      <c r="F20" s="25"/>
      <c r="G20" s="35"/>
      <c r="H20" s="36"/>
      <c r="I20" s="36"/>
      <c r="J20" s="36"/>
      <c r="K20" s="33"/>
      <c r="L20" s="33"/>
      <c r="M20" s="37"/>
    </row>
    <row r="21" spans="1:13" s="9" customFormat="1">
      <c r="A21" s="67" t="s">
        <v>31</v>
      </c>
      <c r="B21" s="68"/>
      <c r="C21" s="69"/>
      <c r="D21" s="70"/>
      <c r="E21" s="71" t="s">
        <v>8</v>
      </c>
      <c r="F21" s="72">
        <v>1748513</v>
      </c>
      <c r="G21" s="80">
        <v>4.46</v>
      </c>
      <c r="H21" s="83">
        <v>3.41</v>
      </c>
      <c r="I21" s="83">
        <v>3.17</v>
      </c>
      <c r="J21" s="82">
        <v>2.92</v>
      </c>
      <c r="K21" s="80">
        <v>2.74</v>
      </c>
      <c r="L21" s="80">
        <v>2.74</v>
      </c>
      <c r="M21" s="79">
        <v>2.56</v>
      </c>
    </row>
    <row r="22" spans="1:13" s="9" customFormat="1">
      <c r="A22" s="67" t="s">
        <v>31</v>
      </c>
      <c r="B22" s="68"/>
      <c r="C22" s="69"/>
      <c r="D22" s="70"/>
      <c r="E22" s="71" t="s">
        <v>9</v>
      </c>
      <c r="F22" s="71" t="s">
        <v>34</v>
      </c>
      <c r="G22" s="80">
        <v>4.4800000000000004</v>
      </c>
      <c r="H22" s="82">
        <v>4.4800000000000004</v>
      </c>
      <c r="I22" s="82">
        <v>3.65</v>
      </c>
      <c r="J22" s="82">
        <v>3.65</v>
      </c>
      <c r="K22" s="80">
        <v>3.18</v>
      </c>
      <c r="L22" s="80">
        <v>2.95</v>
      </c>
      <c r="M22" s="79">
        <v>2.95</v>
      </c>
    </row>
    <row r="23" spans="1:13" s="9" customFormat="1">
      <c r="A23" s="67" t="s">
        <v>31</v>
      </c>
      <c r="B23" s="68"/>
      <c r="C23" s="69"/>
      <c r="D23" s="70"/>
      <c r="E23" s="71" t="s">
        <v>10</v>
      </c>
      <c r="F23" s="73" t="s">
        <v>32</v>
      </c>
      <c r="G23" s="81">
        <v>4.41</v>
      </c>
      <c r="H23" s="82">
        <v>4.41</v>
      </c>
      <c r="I23" s="82">
        <v>4.41</v>
      </c>
      <c r="J23" s="83">
        <v>2.76</v>
      </c>
      <c r="K23" s="81">
        <v>2.46</v>
      </c>
      <c r="L23" s="81">
        <v>2.46</v>
      </c>
      <c r="M23" s="85">
        <v>2.46</v>
      </c>
    </row>
    <row r="24" spans="1:13" s="9" customFormat="1">
      <c r="A24" s="67" t="s">
        <v>31</v>
      </c>
      <c r="B24" s="68"/>
      <c r="C24" s="69"/>
      <c r="D24" s="70"/>
      <c r="E24" s="71" t="s">
        <v>20</v>
      </c>
      <c r="F24" s="73" t="s">
        <v>33</v>
      </c>
      <c r="G24" s="80">
        <v>0</v>
      </c>
      <c r="H24" s="80">
        <v>0</v>
      </c>
      <c r="I24" s="84">
        <v>0</v>
      </c>
      <c r="J24" s="84">
        <v>0</v>
      </c>
      <c r="K24" s="84">
        <v>0</v>
      </c>
      <c r="L24" s="84">
        <v>0</v>
      </c>
      <c r="M24" s="84">
        <v>0</v>
      </c>
    </row>
    <row r="25" spans="1:13" s="64" customFormat="1" ht="31" customHeight="1">
      <c r="A25" s="74" t="s">
        <v>22</v>
      </c>
      <c r="B25" s="75"/>
      <c r="C25" s="76"/>
      <c r="D25" s="77"/>
      <c r="E25" s="77"/>
      <c r="F25" s="77"/>
      <c r="G25" s="63" t="str">
        <f>CheapestReseller(G21:G24,E21:E24)</f>
        <v>DigiKey</v>
      </c>
      <c r="H25" s="63" t="str">
        <f>CheapestReseller(H21:H24,E21:E24)</f>
        <v>Farnell</v>
      </c>
      <c r="I25" s="63" t="str">
        <f>CheapestReseller(I21:I24,E21:E24)</f>
        <v>Farnell</v>
      </c>
      <c r="J25" s="63" t="str">
        <f>CheapestReseller(J21:J24,E21:E24)</f>
        <v>DigiKey</v>
      </c>
      <c r="K25" s="63" t="str">
        <f>CheapestReseller(K21:K24,E21:E24)</f>
        <v>DigiKey</v>
      </c>
      <c r="L25" s="63" t="str">
        <f>CheapestReseller(L21:L24,E21:E24)</f>
        <v>DigiKey</v>
      </c>
      <c r="M25" s="63" t="str">
        <f>CheapestReseller(M21:M24,E21:E24)</f>
        <v>DigiKey</v>
      </c>
    </row>
    <row r="26" spans="1:13">
      <c r="E26" s="19"/>
      <c r="F26" s="19"/>
      <c r="G26" s="38"/>
      <c r="H26" s="39"/>
      <c r="I26" s="39"/>
      <c r="J26" s="39"/>
      <c r="K26" s="34"/>
      <c r="L26" s="34"/>
      <c r="M26" s="40"/>
    </row>
    <row r="27" spans="1:13">
      <c r="E27" s="19"/>
      <c r="F27" s="19"/>
      <c r="G27" s="38"/>
      <c r="H27" s="39"/>
      <c r="I27" s="39"/>
      <c r="J27" s="39"/>
      <c r="K27" s="34"/>
      <c r="L27" s="34"/>
      <c r="M27" s="40"/>
    </row>
    <row r="28" spans="1:13" s="20" customFormat="1" ht="31" customHeight="1">
      <c r="A28" s="17"/>
      <c r="B28" s="18"/>
      <c r="C28" s="17"/>
      <c r="D28" s="19"/>
      <c r="E28" s="19"/>
      <c r="F28" s="19"/>
      <c r="G28" s="38"/>
      <c r="H28" s="41"/>
      <c r="I28" s="42"/>
      <c r="J28" s="43"/>
      <c r="K28" s="48"/>
      <c r="L28" s="48"/>
      <c r="M28" s="44"/>
    </row>
    <row r="29" spans="1:13" s="10" customFormat="1">
      <c r="A29" s="3"/>
      <c r="B29" s="18"/>
      <c r="C29" s="17"/>
      <c r="D29" s="2"/>
      <c r="E29"/>
      <c r="F29" s="1"/>
      <c r="G29" s="4"/>
      <c r="H29" s="5"/>
      <c r="I29" s="6"/>
      <c r="J29"/>
      <c r="K29" s="46"/>
    </row>
    <row r="30" spans="1:13" s="11" customFormat="1">
      <c r="A30" s="12"/>
      <c r="B30" s="29"/>
      <c r="C30" s="22"/>
      <c r="D30" s="13"/>
      <c r="F30" s="14"/>
      <c r="G30" s="15"/>
      <c r="H30" s="16"/>
      <c r="K30" s="47"/>
    </row>
    <row r="31" spans="1:13" s="9" customFormat="1">
      <c r="A31" s="12"/>
      <c r="B31" s="29"/>
      <c r="C31" s="22"/>
      <c r="D31" s="13"/>
      <c r="E31" s="11"/>
      <c r="F31" s="14"/>
      <c r="G31" s="15"/>
      <c r="H31" s="16"/>
      <c r="I31" s="11"/>
      <c r="K31" s="47"/>
    </row>
    <row r="35" spans="1:1">
      <c r="A35" s="7"/>
    </row>
    <row r="36" spans="1:1">
      <c r="A36" s="7"/>
    </row>
  </sheetData>
  <phoneticPr fontId="6" type="noConversion"/>
  <hyperlinks>
    <hyperlink ref="F3" r:id="rId1" display="http://nl.farnell.com/atmel/atmega1284p-au/mcu-8bit-avr-128k-flash-44tqfp/dp/1715480"/>
    <hyperlink ref="F15" r:id="rId2" display="http://nl.farnell.com/atmel/atmega1284p-au/mcu-8bit-avr-128k-flash-44tqfp/dp/1715480"/>
    <hyperlink ref="F21" r:id="rId3" display="http://nl.farnell.com/atmel/atmega1284p-au/mcu-8bit-avr-128k-flash-44tqfp/dp/1715480"/>
  </hyperlinks>
  <pageMargins left="0.75" right="0.75" top="1" bottom="1" header="0.5" footer="0.5"/>
  <pageSetup paperSize="9" orientation="portrait" horizontalDpi="4294967292" verticalDpi="4294967292"/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V2_Lab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de Bakker</dc:creator>
  <cp:lastModifiedBy>Simon de Bakker</cp:lastModifiedBy>
  <cp:lastPrinted>2012-03-04T22:39:15Z</cp:lastPrinted>
  <dcterms:created xsi:type="dcterms:W3CDTF">2012-03-04T20:57:10Z</dcterms:created>
  <dcterms:modified xsi:type="dcterms:W3CDTF">2012-10-24T18:13:43Z</dcterms:modified>
</cp:coreProperties>
</file>